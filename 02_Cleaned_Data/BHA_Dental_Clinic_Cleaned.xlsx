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arya\Desktop\BHA_Dental_Clinic_Analytics\02_Cleaned_Data\"/>
    </mc:Choice>
  </mc:AlternateContent>
  <xr:revisionPtr revIDLastSave="0" documentId="13_ncr:1_{7BB243AD-46B1-4B35-888C-405318E6C991}" xr6:coauthVersionLast="36" xr6:coauthVersionMax="36" xr10:uidLastSave="{00000000-0000-0000-0000-000000000000}"/>
  <bookViews>
    <workbookView xWindow="0" yWindow="0" windowWidth="20490" windowHeight="7425" xr2:uid="{D82350CC-2EAC-4ADD-93A0-37F4A630361A}"/>
  </bookViews>
  <sheets>
    <sheet name="Sheet2" sheetId="5" r:id="rId1"/>
    <sheet name="Cleaned_Transactions" sheetId="1" r:id="rId2"/>
    <sheet name="PowerBI_Data" sheetId="4" r:id="rId3"/>
    <sheet name="Clinic_Summary" sheetId="2" r:id="rId4"/>
    <sheet name="Monthly_Summary" sheetId="3" r:id="rId5"/>
  </sheet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4" l="1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E5" i="3" l="1"/>
  <c r="D5" i="3"/>
  <c r="C5" i="3"/>
  <c r="B5" i="3"/>
  <c r="E3" i="3"/>
  <c r="E4" i="3"/>
  <c r="E2" i="3"/>
  <c r="D3" i="3"/>
  <c r="D4" i="3"/>
  <c r="D2" i="3"/>
  <c r="C4" i="3"/>
  <c r="C3" i="3"/>
  <c r="C2" i="3"/>
  <c r="B4" i="3"/>
  <c r="B3" i="3"/>
  <c r="B2" i="3"/>
  <c r="B2" i="2"/>
  <c r="H32" i="1"/>
  <c r="H33" i="1"/>
  <c r="H34" i="1"/>
  <c r="H35" i="1"/>
  <c r="H36" i="1"/>
  <c r="B3" i="2"/>
  <c r="H27" i="1"/>
  <c r="H28" i="1"/>
  <c r="H29" i="1"/>
  <c r="H30" i="1"/>
  <c r="H31" i="1"/>
  <c r="H22" i="1"/>
  <c r="H23" i="1"/>
  <c r="H24" i="1"/>
  <c r="H25" i="1"/>
  <c r="H2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B4" i="2" l="1"/>
  <c r="B5" i="2"/>
</calcChain>
</file>

<file path=xl/sharedStrings.xml><?xml version="1.0" encoding="utf-8"?>
<sst xmlns="http://schemas.openxmlformats.org/spreadsheetml/2006/main" count="325" uniqueCount="145">
  <si>
    <t xml:space="preserve"> Visit_ID</t>
  </si>
  <si>
    <t xml:space="preserve"> Visit_Date</t>
  </si>
  <si>
    <t>Patient_ID</t>
  </si>
  <si>
    <t>Treatment_Category</t>
  </si>
  <si>
    <t>Amount_Charged</t>
  </si>
  <si>
    <t xml:space="preserve">Transaction_ID     </t>
  </si>
  <si>
    <t>Amount_Collected</t>
  </si>
  <si>
    <t>T001</t>
  </si>
  <si>
    <t>T002</t>
  </si>
  <si>
    <t>T003</t>
  </si>
  <si>
    <t>T004</t>
  </si>
  <si>
    <t>T005</t>
  </si>
  <si>
    <t>V001</t>
  </si>
  <si>
    <t>V002</t>
  </si>
  <si>
    <t>V003</t>
  </si>
  <si>
    <t>V004</t>
  </si>
  <si>
    <t>V005</t>
  </si>
  <si>
    <t>P001</t>
  </si>
  <si>
    <t>P002</t>
  </si>
  <si>
    <t>P003</t>
  </si>
  <si>
    <t>P004</t>
  </si>
  <si>
    <t>P005</t>
  </si>
  <si>
    <t>Consultation</t>
  </si>
  <si>
    <t>Scaling</t>
  </si>
  <si>
    <t>RCT</t>
  </si>
  <si>
    <t>Extraction</t>
  </si>
  <si>
    <t>T006</t>
  </si>
  <si>
    <t>T007</t>
  </si>
  <si>
    <t>T008</t>
  </si>
  <si>
    <t>T009</t>
  </si>
  <si>
    <t>T010</t>
  </si>
  <si>
    <t>V006</t>
  </si>
  <si>
    <t>V007</t>
  </si>
  <si>
    <t>V008</t>
  </si>
  <si>
    <t>V009</t>
  </si>
  <si>
    <t>V010</t>
  </si>
  <si>
    <t>P006</t>
  </si>
  <si>
    <t>P007</t>
  </si>
  <si>
    <t>P008</t>
  </si>
  <si>
    <t>P009</t>
  </si>
  <si>
    <t>P010</t>
  </si>
  <si>
    <t>Filling</t>
  </si>
  <si>
    <t>Crown</t>
  </si>
  <si>
    <t>T011</t>
  </si>
  <si>
    <t>T012</t>
  </si>
  <si>
    <t>T013</t>
  </si>
  <si>
    <t>T014</t>
  </si>
  <si>
    <t>T015</t>
  </si>
  <si>
    <t>V011</t>
  </si>
  <si>
    <t>V012</t>
  </si>
  <si>
    <t>V013</t>
  </si>
  <si>
    <t>V014</t>
  </si>
  <si>
    <t>V015</t>
  </si>
  <si>
    <t>P011</t>
  </si>
  <si>
    <t>P012</t>
  </si>
  <si>
    <t>P013</t>
  </si>
  <si>
    <t>P014</t>
  </si>
  <si>
    <t>P015</t>
  </si>
  <si>
    <t>T016</t>
  </si>
  <si>
    <t>T017</t>
  </si>
  <si>
    <t>T018</t>
  </si>
  <si>
    <t>T019</t>
  </si>
  <si>
    <t>T020</t>
  </si>
  <si>
    <t>V016</t>
  </si>
  <si>
    <t>V017</t>
  </si>
  <si>
    <t>V018</t>
  </si>
  <si>
    <t>V019</t>
  </si>
  <si>
    <t>V020</t>
  </si>
  <si>
    <t>P016</t>
  </si>
  <si>
    <t>P017</t>
  </si>
  <si>
    <t>P018</t>
  </si>
  <si>
    <t>P019</t>
  </si>
  <si>
    <t>P020</t>
  </si>
  <si>
    <t>Outstanding_Amount</t>
  </si>
  <si>
    <t>Metric</t>
  </si>
  <si>
    <t>Value</t>
  </si>
  <si>
    <t>Total Amount Charged</t>
  </si>
  <si>
    <t>Total Amount Collected</t>
  </si>
  <si>
    <t>Total Outstanding</t>
  </si>
  <si>
    <t>Collection Rate</t>
  </si>
  <si>
    <t>T021</t>
  </si>
  <si>
    <t>T022</t>
  </si>
  <si>
    <t>T023</t>
  </si>
  <si>
    <t>T024</t>
  </si>
  <si>
    <t>T025</t>
  </si>
  <si>
    <t>V021</t>
  </si>
  <si>
    <t>V022</t>
  </si>
  <si>
    <t>V023</t>
  </si>
  <si>
    <t>V024</t>
  </si>
  <si>
    <t>V025</t>
  </si>
  <si>
    <t>P021</t>
  </si>
  <si>
    <t>P022</t>
  </si>
  <si>
    <t>P023</t>
  </si>
  <si>
    <t>P024</t>
  </si>
  <si>
    <t>P025</t>
  </si>
  <si>
    <t>T026</t>
  </si>
  <si>
    <t>T027</t>
  </si>
  <si>
    <t>T028</t>
  </si>
  <si>
    <t>T029</t>
  </si>
  <si>
    <t>T030</t>
  </si>
  <si>
    <t>V026</t>
  </si>
  <si>
    <t>V027</t>
  </si>
  <si>
    <t>V028</t>
  </si>
  <si>
    <t>V029</t>
  </si>
  <si>
    <t>V030</t>
  </si>
  <si>
    <t>P026</t>
  </si>
  <si>
    <t>P027</t>
  </si>
  <si>
    <t>P028</t>
  </si>
  <si>
    <t>P029</t>
  </si>
  <si>
    <t>P030</t>
  </si>
  <si>
    <t>T031</t>
  </si>
  <si>
    <t>T032</t>
  </si>
  <si>
    <t>T033</t>
  </si>
  <si>
    <t>T034</t>
  </si>
  <si>
    <t>T035</t>
  </si>
  <si>
    <t>V031</t>
  </si>
  <si>
    <t>V032</t>
  </si>
  <si>
    <t>V033</t>
  </si>
  <si>
    <t>V034</t>
  </si>
  <si>
    <t>V035</t>
  </si>
  <si>
    <t>P031</t>
  </si>
  <si>
    <t>P032</t>
  </si>
  <si>
    <t>P033</t>
  </si>
  <si>
    <t>P034</t>
  </si>
  <si>
    <t>P035</t>
  </si>
  <si>
    <t>Month</t>
  </si>
  <si>
    <t>Total_Charged</t>
  </si>
  <si>
    <t>Total_Collected</t>
  </si>
  <si>
    <t>Outstanding</t>
  </si>
  <si>
    <t>Collection_Rate</t>
  </si>
  <si>
    <t>Total</t>
  </si>
  <si>
    <t>Data Validation Results</t>
  </si>
  <si>
    <t>Total transaction records</t>
  </si>
  <si>
    <t>Unique transaction IDs</t>
  </si>
  <si>
    <t>Missing required values</t>
  </si>
  <si>
    <t>Incorrect outstanding calculations</t>
  </si>
  <si>
    <t>Financial reconciliation checks passed</t>
  </si>
  <si>
    <t>3 of 3</t>
  </si>
  <si>
    <t>Transaction_ID</t>
  </si>
  <si>
    <t>Visit_ID</t>
  </si>
  <si>
    <t>Visit_Date</t>
  </si>
  <si>
    <t>Row Labels</t>
  </si>
  <si>
    <t>Grand Total</t>
  </si>
  <si>
    <t>Sum of Amount_Charged</t>
  </si>
  <si>
    <t>Sum of Amount_Collected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</si>
</sst>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9" fontId="0" fillId="0" borderId="1" xfId="2" applyFont="1" applyBorder="1"/>
    <xf numFmtId="164" fontId="0" fillId="0" borderId="1" xfId="0" applyNumberFormat="1" applyBorder="1"/>
    <xf numFmtId="0" fontId="0" fillId="0" borderId="0" xfId="0" applyNumberFormat="1"/>
    <xf numFmtId="17" fontId="0" fillId="0" borderId="1" xfId="0" applyNumberFormat="1" applyBorder="1"/>
    <xf numFmtId="44" fontId="0" fillId="0" borderId="1" xfId="1" applyFont="1" applyBorder="1"/>
    <xf numFmtId="44" fontId="2" fillId="0" borderId="1" xfId="0" applyNumberFormat="1" applyFont="1" applyBorder="1"/>
    <xf numFmtId="9" fontId="2" fillId="0" borderId="1" xfId="2" applyFont="1" applyBorder="1"/>
    <xf numFmtId="0" fontId="0" fillId="2" borderId="2" xfId="0" applyFont="1" applyFill="1" applyBorder="1"/>
    <xf numFmtId="0" fontId="0" fillId="2" borderId="3" xfId="0" applyFont="1" applyFill="1" applyBorder="1"/>
    <xf numFmtId="14" fontId="0" fillId="2" borderId="3" xfId="0" applyNumberFormat="1" applyFont="1" applyFill="1" applyBorder="1"/>
    <xf numFmtId="0" fontId="0" fillId="2" borderId="4" xfId="0" applyFont="1" applyFill="1" applyBorder="1"/>
    <xf numFmtId="0" fontId="0" fillId="0" borderId="2" xfId="0" applyFont="1" applyBorder="1"/>
    <xf numFmtId="0" fontId="0" fillId="0" borderId="3" xfId="0" applyFont="1" applyBorder="1"/>
    <xf numFmtId="14" fontId="0" fillId="0" borderId="3" xfId="0" applyNumberFormat="1" applyFont="1" applyBorder="1"/>
    <xf numFmtId="0" fontId="0" fillId="0" borderId="4" xfId="0" applyFont="1" applyBorder="1"/>
    <xf numFmtId="0" fontId="0" fillId="2" borderId="4" xfId="0" applyNumberFormat="1" applyFont="1" applyFill="1" applyBorder="1"/>
    <xf numFmtId="0" fontId="0" fillId="0" borderId="4" xfId="0" applyNumberFormat="1" applyFont="1" applyBorder="1"/>
    <xf numFmtId="0" fontId="0" fillId="2" borderId="5" xfId="0" applyFont="1" applyFill="1" applyBorder="1"/>
    <xf numFmtId="0" fontId="0" fillId="2" borderId="6" xfId="0" applyFont="1" applyFill="1" applyBorder="1"/>
    <xf numFmtId="14" fontId="0" fillId="2" borderId="6" xfId="0" applyNumberFormat="1" applyFont="1" applyFill="1" applyBorder="1"/>
    <xf numFmtId="0" fontId="0" fillId="2" borderId="7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harya" refreshedDate="46305.568837037034" createdVersion="6" refreshedVersion="6" minRefreshableVersion="3" recordCount="35" xr:uid="{2B703F8F-ABC0-4A19-8553-59159C7A0B4C}">
  <cacheSource type="worksheet">
    <worksheetSource ref="A1:H36" sheet="Cleaned_Transactions"/>
  </cacheSource>
  <cacheFields count="8">
    <cacheField name="Transaction_ID     " numFmtId="0">
      <sharedItems/>
    </cacheField>
    <cacheField name=" Visit_ID" numFmtId="0">
      <sharedItems/>
    </cacheField>
    <cacheField name=" Visit_Date" numFmtId="14">
      <sharedItems containsSemiMixedTypes="0" containsNonDate="0" containsDate="1" containsString="0" minDate="2026-01-05T00:00:00" maxDate="2026-03-15T00:00:00"/>
    </cacheField>
    <cacheField name="Patient_ID" numFmtId="0">
      <sharedItems/>
    </cacheField>
    <cacheField name="Treatment_Category" numFmtId="0">
      <sharedItems count="6">
        <s v="Consultation"/>
        <s v="Scaling"/>
        <s v="RCT"/>
        <s v="Extraction"/>
        <s v="Filling"/>
        <s v="Crown"/>
      </sharedItems>
    </cacheField>
    <cacheField name="Amount_Charged" numFmtId="0">
      <sharedItems containsSemiMixedTypes="0" containsString="0" containsNumber="1" containsInteger="1" minValue="500" maxValue="5000"/>
    </cacheField>
    <cacheField name="Amount_Collected" numFmtId="0">
      <sharedItems containsSemiMixedTypes="0" containsString="0" containsNumber="1" containsInteger="1" minValue="0" maxValue="5000"/>
    </cacheField>
    <cacheField name="Outstanding_Amount" numFmtId="0">
      <sharedItems containsSemiMixedTypes="0" containsString="0" containsNumber="1" containsInteger="1" minValue="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T001"/>
    <s v="V001"/>
    <d v="2026-01-05T00:00:00"/>
    <s v="P001"/>
    <x v="0"/>
    <n v="500"/>
    <n v="500"/>
    <n v="0"/>
  </r>
  <r>
    <s v="T002"/>
    <s v="V002"/>
    <d v="2026-01-06T00:00:00"/>
    <s v="P002"/>
    <x v="1"/>
    <n v="1500"/>
    <n v="1500"/>
    <n v="0"/>
  </r>
  <r>
    <s v="T003"/>
    <s v="V003"/>
    <d v="2026-01-07T00:00:00"/>
    <s v="P003"/>
    <x v="2"/>
    <n v="4000"/>
    <n v="2500"/>
    <n v="1500"/>
  </r>
  <r>
    <s v="T004"/>
    <s v="V004"/>
    <d v="2026-01-08T00:00:00"/>
    <s v="P004"/>
    <x v="3"/>
    <n v="1200"/>
    <n v="1200"/>
    <n v="0"/>
  </r>
  <r>
    <s v="T005"/>
    <s v="V005"/>
    <d v="2026-01-09T00:00:00"/>
    <s v="P005"/>
    <x v="0"/>
    <n v="500"/>
    <n v="0"/>
    <n v="500"/>
  </r>
  <r>
    <s v="T006"/>
    <s v="V006"/>
    <d v="2026-01-10T00:00:00"/>
    <s v="P006"/>
    <x v="4"/>
    <n v="1000"/>
    <n v="1000"/>
    <n v="0"/>
  </r>
  <r>
    <s v="T007"/>
    <s v="V007"/>
    <d v="2026-01-11T00:00:00"/>
    <s v="P007"/>
    <x v="5"/>
    <n v="5000"/>
    <n v="3000"/>
    <n v="2000"/>
  </r>
  <r>
    <s v="T008"/>
    <s v="V008"/>
    <d v="2026-01-12T00:00:00"/>
    <s v="P008"/>
    <x v="2"/>
    <n v="4000"/>
    <n v="4000"/>
    <n v="0"/>
  </r>
  <r>
    <s v="T009"/>
    <s v="V009"/>
    <d v="2026-01-13T00:00:00"/>
    <s v="P009"/>
    <x v="1"/>
    <n v="1500"/>
    <n v="1000"/>
    <n v="500"/>
  </r>
  <r>
    <s v="T010"/>
    <s v="V010"/>
    <d v="2026-01-14T00:00:00"/>
    <s v="P010"/>
    <x v="0"/>
    <n v="500"/>
    <n v="500"/>
    <n v="0"/>
  </r>
  <r>
    <s v="T011"/>
    <s v="V011"/>
    <d v="2026-01-15T00:00:00"/>
    <s v="P011"/>
    <x v="3"/>
    <n v="1200"/>
    <n v="700"/>
    <n v="500"/>
  </r>
  <r>
    <s v="T012"/>
    <s v="V012"/>
    <d v="2026-01-16T00:00:00"/>
    <s v="P012"/>
    <x v="4"/>
    <n v="1000"/>
    <n v="800"/>
    <n v="200"/>
  </r>
  <r>
    <s v="T013"/>
    <s v="V013"/>
    <d v="2026-01-17T00:00:00"/>
    <s v="P013"/>
    <x v="5"/>
    <n v="5000"/>
    <n v="5000"/>
    <n v="0"/>
  </r>
  <r>
    <s v="T014"/>
    <s v="V014"/>
    <d v="2026-01-18T00:00:00"/>
    <s v="P014"/>
    <x v="2"/>
    <n v="4000"/>
    <n v="2000"/>
    <n v="2000"/>
  </r>
  <r>
    <s v="T015"/>
    <s v="V015"/>
    <d v="2026-01-19T00:00:00"/>
    <s v="P015"/>
    <x v="0"/>
    <n v="500"/>
    <n v="500"/>
    <n v="0"/>
  </r>
  <r>
    <s v="T016"/>
    <s v="V016"/>
    <d v="2026-01-20T00:00:00"/>
    <s v="P016"/>
    <x v="1"/>
    <n v="1500"/>
    <n v="1500"/>
    <n v="0"/>
  </r>
  <r>
    <s v="T017"/>
    <s v="V017"/>
    <d v="2026-01-21T00:00:00"/>
    <s v="P017"/>
    <x v="4"/>
    <n v="1000"/>
    <n v="500"/>
    <n v="500"/>
  </r>
  <r>
    <s v="T018"/>
    <s v="V018"/>
    <d v="2026-01-22T00:00:00"/>
    <s v="P018"/>
    <x v="2"/>
    <n v="4000"/>
    <n v="4000"/>
    <n v="0"/>
  </r>
  <r>
    <s v="T019"/>
    <s v="V019"/>
    <d v="2026-01-23T00:00:00"/>
    <s v="P019"/>
    <x v="5"/>
    <n v="5000"/>
    <n v="2500"/>
    <n v="2500"/>
  </r>
  <r>
    <s v="T020"/>
    <s v="V020"/>
    <d v="2026-01-24T00:00:00"/>
    <s v="P020"/>
    <x v="3"/>
    <n v="1200"/>
    <n v="1200"/>
    <n v="0"/>
  </r>
  <r>
    <s v="T021"/>
    <s v="V021"/>
    <d v="2026-02-01T00:00:00"/>
    <s v="P021"/>
    <x v="0"/>
    <n v="500"/>
    <n v="500"/>
    <n v="0"/>
  </r>
  <r>
    <s v="T022"/>
    <s v="V022"/>
    <d v="2026-02-03T00:00:00"/>
    <s v="P022"/>
    <x v="1"/>
    <n v="1500"/>
    <n v="1500"/>
    <n v="0"/>
  </r>
  <r>
    <s v="T023"/>
    <s v="V023"/>
    <d v="2026-02-05T00:00:00"/>
    <s v="P023"/>
    <x v="2"/>
    <n v="4000"/>
    <n v="3000"/>
    <n v="1000"/>
  </r>
  <r>
    <s v="T024"/>
    <s v="V024"/>
    <d v="2026-02-08T00:00:00"/>
    <s v="P024"/>
    <x v="5"/>
    <n v="5000"/>
    <n v="2500"/>
    <n v="2500"/>
  </r>
  <r>
    <s v="T025"/>
    <s v="V025"/>
    <d v="2026-02-10T00:00:00"/>
    <s v="P025"/>
    <x v="4"/>
    <n v="1000"/>
    <n v="1000"/>
    <n v="0"/>
  </r>
  <r>
    <s v="T026"/>
    <s v="V026"/>
    <d v="2026-02-12T00:00:00"/>
    <s v="P026"/>
    <x v="3"/>
    <n v="1200"/>
    <n v="1200"/>
    <n v="0"/>
  </r>
  <r>
    <s v="T027"/>
    <s v="V027"/>
    <d v="2026-02-15T00:00:00"/>
    <s v="P027"/>
    <x v="2"/>
    <n v="4000"/>
    <n v="2000"/>
    <n v="2000"/>
  </r>
  <r>
    <s v="T028"/>
    <s v="V028"/>
    <d v="2026-02-18T00:00:00"/>
    <s v="P028"/>
    <x v="1"/>
    <n v="1500"/>
    <n v="1000"/>
    <n v="500"/>
  </r>
  <r>
    <s v="T029"/>
    <s v="V029"/>
    <d v="2026-02-21T00:00:00"/>
    <s v="P029"/>
    <x v="0"/>
    <n v="500"/>
    <n v="0"/>
    <n v="500"/>
  </r>
  <r>
    <s v="T030"/>
    <s v="V030"/>
    <d v="2026-02-25T00:00:00"/>
    <s v="P030"/>
    <x v="5"/>
    <n v="5000"/>
    <n v="5000"/>
    <n v="0"/>
  </r>
  <r>
    <s v="T031"/>
    <s v="V031"/>
    <d v="2026-03-02T00:00:00"/>
    <s v="P031"/>
    <x v="0"/>
    <n v="500"/>
    <n v="500"/>
    <n v="0"/>
  </r>
  <r>
    <s v="T032"/>
    <s v="V032"/>
    <d v="2026-03-04T00:00:00"/>
    <s v="P032"/>
    <x v="1"/>
    <n v="1500"/>
    <n v="1500"/>
    <n v="0"/>
  </r>
  <r>
    <s v="T033"/>
    <s v="V033"/>
    <d v="2026-03-07T00:00:00"/>
    <s v="P033"/>
    <x v="2"/>
    <n v="4000"/>
    <n v="3500"/>
    <n v="500"/>
  </r>
  <r>
    <s v="T034"/>
    <s v="V034"/>
    <d v="2026-03-10T00:00:00"/>
    <s v="P034"/>
    <x v="4"/>
    <n v="1000"/>
    <n v="1000"/>
    <n v="0"/>
  </r>
  <r>
    <s v="T035"/>
    <s v="V035"/>
    <d v="2026-03-14T00:00:00"/>
    <s v="P035"/>
    <x v="5"/>
    <n v="5000"/>
    <n v="3000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C1888-84C1-4803-80BD-0D6339D6FC15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0" firstHeaderRow="0" firstDataRow="1" firstDataCol="1"/>
  <pivotFields count="8">
    <pivotField showAll="0"/>
    <pivotField showAll="0"/>
    <pivotField numFmtId="14" showAll="0"/>
    <pivotField showAll="0"/>
    <pivotField axis="axisRow" showAll="0">
      <items count="7">
        <item x="0"/>
        <item x="5"/>
        <item x="3"/>
        <item x="4"/>
        <item x="2"/>
        <item x="1"/>
        <item t="default"/>
      </items>
    </pivotField>
    <pivotField dataField="1" showAll="0"/>
    <pivotField dataField="1"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_Charged" fld="5" baseField="0" baseItem="0"/>
    <dataField name="Sum of Amount_Collect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FB5EF1-DF19-4BF3-9CC7-8F358C00F9D8}" name="Table1" displayName="Table1" ref="A1:H36" totalsRowShown="0">
  <autoFilter ref="A1:H36" xr:uid="{EE2981E0-336C-4D68-B458-EC1ACEA91826}"/>
  <tableColumns count="8">
    <tableColumn id="1" xr3:uid="{320DFF33-9469-427B-BB10-0C67F1639E02}" name="Transaction_ID     "/>
    <tableColumn id="2" xr3:uid="{99352EA8-C216-45C1-8627-11233DBEB08C}" name=" Visit_ID"/>
    <tableColumn id="3" xr3:uid="{490812D4-7309-4DB5-B16D-13B0933EA572}" name=" Visit_Date"/>
    <tableColumn id="4" xr3:uid="{68F5310D-3788-47A3-A372-19BB67791BA3}" name="Patient_ID"/>
    <tableColumn id="5" xr3:uid="{739518E1-B5DB-4050-9C3F-06471EFC7935}" name="Treatment_Category"/>
    <tableColumn id="6" xr3:uid="{2CB4711B-4671-4A4F-8558-654C322B6E0D}" name="Amount_Charged"/>
    <tableColumn id="7" xr3:uid="{F58EDBA9-6573-4CE2-B30E-740DE856B181}" name="Amount_Collected"/>
    <tableColumn id="8" xr3:uid="{DA233A22-B900-4CB9-8535-FF6B6B7E221A}" name="Outstanding_Amount" dataDxfId="10">
      <calculatedColumnFormula>F2-G2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A63103-501F-43EC-8DDA-235E3869485A}" name="tbl_PowerBI_Transactions" displayName="tbl_PowerBI_Transactions" ref="A1:H36" totalsRowShown="0" dataDxfId="0" tableBorderDxfId="9">
  <autoFilter ref="A1:H36" xr:uid="{8DF299CB-0DA0-4B08-B159-FF00F103CD29}"/>
  <tableColumns count="8">
    <tableColumn id="1" xr3:uid="{3CBF6CF5-2FB7-4103-ADCE-7663719A2461}" name="Transaction_ID" dataDxfId="8"/>
    <tableColumn id="2" xr3:uid="{FD1D79B5-A0E1-4609-A0A5-7AFD48F93058}" name="Visit_ID" dataDxfId="7"/>
    <tableColumn id="3" xr3:uid="{730B5AD9-4FF7-4DD5-83B3-EC522BC28A18}" name="Visit_Date" dataDxfId="6"/>
    <tableColumn id="4" xr3:uid="{0E23AE73-6F5F-4BC4-A0EE-1DB50A94D640}" name="Patient_ID" dataDxfId="5"/>
    <tableColumn id="5" xr3:uid="{E98B1B66-EE13-4909-8A9B-DFDA3BD6FAD5}" name="Treatment_Category" dataDxfId="4"/>
    <tableColumn id="6" xr3:uid="{3EC30D2E-87DF-4B2E-99CA-6A2E3B22EC97}" name="Amount_Charged" dataDxfId="3"/>
    <tableColumn id="7" xr3:uid="{D5313DDC-500A-4C52-90DC-9BE98090AADA}" name="Amount_Collected" dataDxfId="2"/>
    <tableColumn id="8" xr3:uid="{D9347FC6-2911-40CD-B561-692C30A6A2DB}" name="Outstanding_Amount" dataDxfId="1">
      <calculatedColumnFormula>F2-G2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755C-A424-4C71-93AE-ABA75119FE49}">
  <dimension ref="A3:C10"/>
  <sheetViews>
    <sheetView tabSelected="1" workbookViewId="0">
      <selection activeCell="A3" sqref="A3:C10"/>
    </sheetView>
  </sheetViews>
  <sheetFormatPr defaultRowHeight="15"/>
  <cols>
    <col min="1" max="1" width="13.140625" bestFit="1" customWidth="1"/>
    <col min="2" max="2" width="23.42578125" bestFit="1" customWidth="1"/>
    <col min="3" max="3" width="24.5703125" bestFit="1" customWidth="1"/>
  </cols>
  <sheetData>
    <row r="3" spans="1:3">
      <c r="A3" s="26" t="s">
        <v>141</v>
      </c>
      <c r="B3" t="s">
        <v>143</v>
      </c>
      <c r="C3" t="s">
        <v>144</v>
      </c>
    </row>
    <row r="4" spans="1:3">
      <c r="A4" s="27" t="s">
        <v>22</v>
      </c>
      <c r="B4" s="7">
        <v>3500</v>
      </c>
      <c r="C4" s="7">
        <v>2500</v>
      </c>
    </row>
    <row r="5" spans="1:3">
      <c r="A5" s="27" t="s">
        <v>42</v>
      </c>
      <c r="B5" s="7">
        <v>30000</v>
      </c>
      <c r="C5" s="7">
        <v>21000</v>
      </c>
    </row>
    <row r="6" spans="1:3">
      <c r="A6" s="27" t="s">
        <v>25</v>
      </c>
      <c r="B6" s="7">
        <v>4800</v>
      </c>
      <c r="C6" s="7">
        <v>4300</v>
      </c>
    </row>
    <row r="7" spans="1:3">
      <c r="A7" s="27" t="s">
        <v>41</v>
      </c>
      <c r="B7" s="7">
        <v>5000</v>
      </c>
      <c r="C7" s="7">
        <v>4300</v>
      </c>
    </row>
    <row r="8" spans="1:3">
      <c r="A8" s="27" t="s">
        <v>24</v>
      </c>
      <c r="B8" s="7">
        <v>28000</v>
      </c>
      <c r="C8" s="7">
        <v>21000</v>
      </c>
    </row>
    <row r="9" spans="1:3">
      <c r="A9" s="27" t="s">
        <v>23</v>
      </c>
      <c r="B9" s="7">
        <v>9000</v>
      </c>
      <c r="C9" s="7">
        <v>8000</v>
      </c>
    </row>
    <row r="10" spans="1:3">
      <c r="A10" s="27" t="s">
        <v>142</v>
      </c>
      <c r="B10" s="7">
        <v>80300</v>
      </c>
      <c r="C10" s="7">
        <v>61100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9B80-34AB-44CA-9719-148F97E7CCEC}">
  <dimension ref="A1:M36"/>
  <sheetViews>
    <sheetView topLeftCell="A30" workbookViewId="0">
      <selection activeCell="E45" sqref="E45"/>
    </sheetView>
  </sheetViews>
  <sheetFormatPr defaultRowHeight="15"/>
  <cols>
    <col min="1" max="1" width="18.28515625" customWidth="1"/>
    <col min="2" max="2" width="10.42578125" customWidth="1"/>
    <col min="3" max="3" width="12.7109375" customWidth="1"/>
    <col min="4" max="4" width="12.42578125" customWidth="1"/>
    <col min="5" max="5" width="21.28515625" customWidth="1"/>
    <col min="6" max="6" width="18.5703125" customWidth="1"/>
    <col min="7" max="7" width="19.7109375" customWidth="1"/>
    <col min="8" max="8" width="22.28515625" customWidth="1"/>
    <col min="9" max="9" width="6.5703125" customWidth="1"/>
    <col min="10" max="10" width="4" customWidth="1"/>
    <col min="11" max="11" width="2.7109375" customWidth="1"/>
    <col min="12" max="12" width="34.42578125" customWidth="1"/>
  </cols>
  <sheetData>
    <row r="1" spans="1:1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73</v>
      </c>
      <c r="L1" t="s">
        <v>131</v>
      </c>
    </row>
    <row r="2" spans="1:13">
      <c r="A2" t="s">
        <v>7</v>
      </c>
      <c r="B2" t="s">
        <v>12</v>
      </c>
      <c r="C2" s="1">
        <v>46027</v>
      </c>
      <c r="D2" t="s">
        <v>17</v>
      </c>
      <c r="E2" t="s">
        <v>22</v>
      </c>
      <c r="F2">
        <v>500</v>
      </c>
      <c r="G2">
        <v>500</v>
      </c>
      <c r="H2">
        <f t="shared" ref="H2:H21" si="0">F2-G2</f>
        <v>0</v>
      </c>
      <c r="L2" t="s">
        <v>132</v>
      </c>
      <c r="M2">
        <v>35</v>
      </c>
    </row>
    <row r="3" spans="1:13">
      <c r="A3" t="s">
        <v>8</v>
      </c>
      <c r="B3" t="s">
        <v>13</v>
      </c>
      <c r="C3" s="1">
        <v>46028</v>
      </c>
      <c r="D3" t="s">
        <v>18</v>
      </c>
      <c r="E3" t="s">
        <v>23</v>
      </c>
      <c r="F3">
        <v>1500</v>
      </c>
      <c r="G3">
        <v>1500</v>
      </c>
      <c r="H3">
        <f t="shared" si="0"/>
        <v>0</v>
      </c>
      <c r="L3" t="s">
        <v>133</v>
      </c>
      <c r="M3">
        <v>35</v>
      </c>
    </row>
    <row r="4" spans="1:13">
      <c r="A4" t="s">
        <v>9</v>
      </c>
      <c r="B4" t="s">
        <v>14</v>
      </c>
      <c r="C4" s="1">
        <v>46029</v>
      </c>
      <c r="D4" t="s">
        <v>19</v>
      </c>
      <c r="E4" t="s">
        <v>24</v>
      </c>
      <c r="F4">
        <v>4000</v>
      </c>
      <c r="G4">
        <v>2500</v>
      </c>
      <c r="H4">
        <f t="shared" si="0"/>
        <v>1500</v>
      </c>
      <c r="L4" t="s">
        <v>134</v>
      </c>
      <c r="M4">
        <v>0</v>
      </c>
    </row>
    <row r="5" spans="1:13">
      <c r="A5" t="s">
        <v>10</v>
      </c>
      <c r="B5" t="s">
        <v>15</v>
      </c>
      <c r="C5" s="1">
        <v>46030</v>
      </c>
      <c r="D5" t="s">
        <v>20</v>
      </c>
      <c r="E5" t="s">
        <v>25</v>
      </c>
      <c r="F5">
        <v>1200</v>
      </c>
      <c r="G5">
        <v>1200</v>
      </c>
      <c r="H5">
        <f t="shared" si="0"/>
        <v>0</v>
      </c>
      <c r="L5" t="s">
        <v>135</v>
      </c>
      <c r="M5">
        <v>0</v>
      </c>
    </row>
    <row r="6" spans="1:13">
      <c r="A6" t="s">
        <v>11</v>
      </c>
      <c r="B6" t="s">
        <v>16</v>
      </c>
      <c r="C6" s="1">
        <v>46031</v>
      </c>
      <c r="D6" t="s">
        <v>21</v>
      </c>
      <c r="E6" t="s">
        <v>22</v>
      </c>
      <c r="F6">
        <v>500</v>
      </c>
      <c r="G6">
        <v>0</v>
      </c>
      <c r="H6">
        <f t="shared" si="0"/>
        <v>500</v>
      </c>
      <c r="L6" t="s">
        <v>136</v>
      </c>
      <c r="M6" t="s">
        <v>137</v>
      </c>
    </row>
    <row r="7" spans="1:13">
      <c r="A7" t="s">
        <v>26</v>
      </c>
      <c r="B7" t="s">
        <v>31</v>
      </c>
      <c r="C7" s="1">
        <v>46032</v>
      </c>
      <c r="D7" t="s">
        <v>36</v>
      </c>
      <c r="E7" t="s">
        <v>41</v>
      </c>
      <c r="F7">
        <v>1000</v>
      </c>
      <c r="G7">
        <v>1000</v>
      </c>
      <c r="H7">
        <f t="shared" si="0"/>
        <v>0</v>
      </c>
    </row>
    <row r="8" spans="1:13">
      <c r="A8" t="s">
        <v>27</v>
      </c>
      <c r="B8" t="s">
        <v>32</v>
      </c>
      <c r="C8" s="1">
        <v>46033</v>
      </c>
      <c r="D8" t="s">
        <v>37</v>
      </c>
      <c r="E8" t="s">
        <v>42</v>
      </c>
      <c r="F8">
        <v>5000</v>
      </c>
      <c r="G8">
        <v>3000</v>
      </c>
      <c r="H8">
        <f t="shared" si="0"/>
        <v>2000</v>
      </c>
    </row>
    <row r="9" spans="1:13">
      <c r="A9" t="s">
        <v>28</v>
      </c>
      <c r="B9" t="s">
        <v>33</v>
      </c>
      <c r="C9" s="1">
        <v>46034</v>
      </c>
      <c r="D9" t="s">
        <v>38</v>
      </c>
      <c r="E9" t="s">
        <v>24</v>
      </c>
      <c r="F9">
        <v>4000</v>
      </c>
      <c r="G9">
        <v>4000</v>
      </c>
      <c r="H9">
        <f t="shared" si="0"/>
        <v>0</v>
      </c>
    </row>
    <row r="10" spans="1:13">
      <c r="A10" t="s">
        <v>29</v>
      </c>
      <c r="B10" t="s">
        <v>34</v>
      </c>
      <c r="C10" s="1">
        <v>46035</v>
      </c>
      <c r="D10" t="s">
        <v>39</v>
      </c>
      <c r="E10" t="s">
        <v>23</v>
      </c>
      <c r="F10">
        <v>1500</v>
      </c>
      <c r="G10">
        <v>1000</v>
      </c>
      <c r="H10">
        <f t="shared" si="0"/>
        <v>500</v>
      </c>
    </row>
    <row r="11" spans="1:13">
      <c r="A11" t="s">
        <v>30</v>
      </c>
      <c r="B11" t="s">
        <v>35</v>
      </c>
      <c r="C11" s="1">
        <v>46036</v>
      </c>
      <c r="D11" t="s">
        <v>40</v>
      </c>
      <c r="E11" t="s">
        <v>22</v>
      </c>
      <c r="F11">
        <v>500</v>
      </c>
      <c r="G11">
        <v>500</v>
      </c>
      <c r="H11">
        <f t="shared" si="0"/>
        <v>0</v>
      </c>
    </row>
    <row r="12" spans="1:13">
      <c r="A12" t="s">
        <v>43</v>
      </c>
      <c r="B12" t="s">
        <v>48</v>
      </c>
      <c r="C12" s="1">
        <v>46037</v>
      </c>
      <c r="D12" t="s">
        <v>53</v>
      </c>
      <c r="E12" t="s">
        <v>25</v>
      </c>
      <c r="F12">
        <v>1200</v>
      </c>
      <c r="G12">
        <v>700</v>
      </c>
      <c r="H12">
        <f t="shared" si="0"/>
        <v>500</v>
      </c>
    </row>
    <row r="13" spans="1:13">
      <c r="A13" t="s">
        <v>44</v>
      </c>
      <c r="B13" t="s">
        <v>49</v>
      </c>
      <c r="C13" s="1">
        <v>46038</v>
      </c>
      <c r="D13" t="s">
        <v>54</v>
      </c>
      <c r="E13" t="s">
        <v>41</v>
      </c>
      <c r="F13">
        <v>1000</v>
      </c>
      <c r="G13">
        <v>800</v>
      </c>
      <c r="H13">
        <f t="shared" si="0"/>
        <v>200</v>
      </c>
    </row>
    <row r="14" spans="1:13">
      <c r="A14" t="s">
        <v>45</v>
      </c>
      <c r="B14" t="s">
        <v>50</v>
      </c>
      <c r="C14" s="1">
        <v>46039</v>
      </c>
      <c r="D14" t="s">
        <v>55</v>
      </c>
      <c r="E14" t="s">
        <v>42</v>
      </c>
      <c r="F14">
        <v>5000</v>
      </c>
      <c r="G14">
        <v>5000</v>
      </c>
      <c r="H14">
        <f t="shared" si="0"/>
        <v>0</v>
      </c>
    </row>
    <row r="15" spans="1:13">
      <c r="A15" t="s">
        <v>46</v>
      </c>
      <c r="B15" t="s">
        <v>51</v>
      </c>
      <c r="C15" s="1">
        <v>46040</v>
      </c>
      <c r="D15" t="s">
        <v>56</v>
      </c>
      <c r="E15" t="s">
        <v>24</v>
      </c>
      <c r="F15">
        <v>4000</v>
      </c>
      <c r="G15">
        <v>2000</v>
      </c>
      <c r="H15">
        <f t="shared" si="0"/>
        <v>2000</v>
      </c>
    </row>
    <row r="16" spans="1:13">
      <c r="A16" t="s">
        <v>47</v>
      </c>
      <c r="B16" t="s">
        <v>52</v>
      </c>
      <c r="C16" s="1">
        <v>46041</v>
      </c>
      <c r="D16" t="s">
        <v>57</v>
      </c>
      <c r="E16" t="s">
        <v>22</v>
      </c>
      <c r="F16">
        <v>500</v>
      </c>
      <c r="G16">
        <v>500</v>
      </c>
      <c r="H16">
        <f t="shared" si="0"/>
        <v>0</v>
      </c>
    </row>
    <row r="17" spans="1:8">
      <c r="A17" t="s">
        <v>58</v>
      </c>
      <c r="B17" t="s">
        <v>63</v>
      </c>
      <c r="C17" s="1">
        <v>46042</v>
      </c>
      <c r="D17" t="s">
        <v>68</v>
      </c>
      <c r="E17" t="s">
        <v>23</v>
      </c>
      <c r="F17">
        <v>1500</v>
      </c>
      <c r="G17">
        <v>1500</v>
      </c>
      <c r="H17">
        <f t="shared" si="0"/>
        <v>0</v>
      </c>
    </row>
    <row r="18" spans="1:8">
      <c r="A18" t="s">
        <v>59</v>
      </c>
      <c r="B18" t="s">
        <v>64</v>
      </c>
      <c r="C18" s="1">
        <v>46043</v>
      </c>
      <c r="D18" t="s">
        <v>69</v>
      </c>
      <c r="E18" t="s">
        <v>41</v>
      </c>
      <c r="F18">
        <v>1000</v>
      </c>
      <c r="G18">
        <v>500</v>
      </c>
      <c r="H18">
        <f t="shared" si="0"/>
        <v>500</v>
      </c>
    </row>
    <row r="19" spans="1:8">
      <c r="A19" t="s">
        <v>60</v>
      </c>
      <c r="B19" t="s">
        <v>65</v>
      </c>
      <c r="C19" s="1">
        <v>46044</v>
      </c>
      <c r="D19" t="s">
        <v>70</v>
      </c>
      <c r="E19" t="s">
        <v>24</v>
      </c>
      <c r="F19">
        <v>4000</v>
      </c>
      <c r="G19">
        <v>4000</v>
      </c>
      <c r="H19">
        <f t="shared" si="0"/>
        <v>0</v>
      </c>
    </row>
    <row r="20" spans="1:8">
      <c r="A20" t="s">
        <v>61</v>
      </c>
      <c r="B20" t="s">
        <v>66</v>
      </c>
      <c r="C20" s="1">
        <v>46045</v>
      </c>
      <c r="D20" t="s">
        <v>71</v>
      </c>
      <c r="E20" t="s">
        <v>42</v>
      </c>
      <c r="F20">
        <v>5000</v>
      </c>
      <c r="G20">
        <v>2500</v>
      </c>
      <c r="H20">
        <f t="shared" si="0"/>
        <v>2500</v>
      </c>
    </row>
    <row r="21" spans="1:8">
      <c r="A21" t="s">
        <v>62</v>
      </c>
      <c r="B21" t="s">
        <v>67</v>
      </c>
      <c r="C21" s="1">
        <v>46046</v>
      </c>
      <c r="D21" t="s">
        <v>72</v>
      </c>
      <c r="E21" t="s">
        <v>25</v>
      </c>
      <c r="F21">
        <v>1200</v>
      </c>
      <c r="G21">
        <v>1200</v>
      </c>
      <c r="H21">
        <f t="shared" si="0"/>
        <v>0</v>
      </c>
    </row>
    <row r="22" spans="1:8">
      <c r="A22" t="s">
        <v>80</v>
      </c>
      <c r="B22" t="s">
        <v>85</v>
      </c>
      <c r="C22" s="1">
        <v>46054</v>
      </c>
      <c r="D22" t="s">
        <v>90</v>
      </c>
      <c r="E22" t="s">
        <v>22</v>
      </c>
      <c r="F22">
        <v>500</v>
      </c>
      <c r="G22">
        <v>500</v>
      </c>
      <c r="H22" s="7">
        <f t="shared" ref="H22:H26" si="1">F22-G22</f>
        <v>0</v>
      </c>
    </row>
    <row r="23" spans="1:8">
      <c r="A23" t="s">
        <v>81</v>
      </c>
      <c r="B23" t="s">
        <v>86</v>
      </c>
      <c r="C23" s="1">
        <v>46056</v>
      </c>
      <c r="D23" t="s">
        <v>91</v>
      </c>
      <c r="E23" t="s">
        <v>23</v>
      </c>
      <c r="F23">
        <v>1500</v>
      </c>
      <c r="G23">
        <v>1500</v>
      </c>
      <c r="H23" s="7">
        <f t="shared" si="1"/>
        <v>0</v>
      </c>
    </row>
    <row r="24" spans="1:8">
      <c r="A24" t="s">
        <v>82</v>
      </c>
      <c r="B24" t="s">
        <v>87</v>
      </c>
      <c r="C24" s="1">
        <v>46058</v>
      </c>
      <c r="D24" t="s">
        <v>92</v>
      </c>
      <c r="E24" t="s">
        <v>24</v>
      </c>
      <c r="F24">
        <v>4000</v>
      </c>
      <c r="G24">
        <v>3000</v>
      </c>
      <c r="H24" s="7">
        <f t="shared" si="1"/>
        <v>1000</v>
      </c>
    </row>
    <row r="25" spans="1:8">
      <c r="A25" t="s">
        <v>83</v>
      </c>
      <c r="B25" t="s">
        <v>88</v>
      </c>
      <c r="C25" s="1">
        <v>46061</v>
      </c>
      <c r="D25" t="s">
        <v>93</v>
      </c>
      <c r="E25" t="s">
        <v>42</v>
      </c>
      <c r="F25">
        <v>5000</v>
      </c>
      <c r="G25">
        <v>2500</v>
      </c>
      <c r="H25" s="7">
        <f t="shared" si="1"/>
        <v>2500</v>
      </c>
    </row>
    <row r="26" spans="1:8">
      <c r="A26" t="s">
        <v>84</v>
      </c>
      <c r="B26" t="s">
        <v>89</v>
      </c>
      <c r="C26" s="1">
        <v>46063</v>
      </c>
      <c r="D26" t="s">
        <v>94</v>
      </c>
      <c r="E26" t="s">
        <v>41</v>
      </c>
      <c r="F26">
        <v>1000</v>
      </c>
      <c r="G26">
        <v>1000</v>
      </c>
      <c r="H26" s="7">
        <f t="shared" si="1"/>
        <v>0</v>
      </c>
    </row>
    <row r="27" spans="1:8">
      <c r="A27" t="s">
        <v>95</v>
      </c>
      <c r="B27" t="s">
        <v>100</v>
      </c>
      <c r="C27" s="1">
        <v>46065</v>
      </c>
      <c r="D27" t="s">
        <v>105</v>
      </c>
      <c r="E27" t="s">
        <v>25</v>
      </c>
      <c r="F27">
        <v>1200</v>
      </c>
      <c r="G27">
        <v>1200</v>
      </c>
      <c r="H27" s="7">
        <f t="shared" ref="H27:H31" si="2">F27-G27</f>
        <v>0</v>
      </c>
    </row>
    <row r="28" spans="1:8">
      <c r="A28" t="s">
        <v>96</v>
      </c>
      <c r="B28" t="s">
        <v>101</v>
      </c>
      <c r="C28" s="1">
        <v>46068</v>
      </c>
      <c r="D28" t="s">
        <v>106</v>
      </c>
      <c r="E28" t="s">
        <v>24</v>
      </c>
      <c r="F28">
        <v>4000</v>
      </c>
      <c r="G28">
        <v>2000</v>
      </c>
      <c r="H28" s="7">
        <f t="shared" si="2"/>
        <v>2000</v>
      </c>
    </row>
    <row r="29" spans="1:8">
      <c r="A29" t="s">
        <v>97</v>
      </c>
      <c r="B29" t="s">
        <v>102</v>
      </c>
      <c r="C29" s="1">
        <v>46071</v>
      </c>
      <c r="D29" t="s">
        <v>107</v>
      </c>
      <c r="E29" t="s">
        <v>23</v>
      </c>
      <c r="F29">
        <v>1500</v>
      </c>
      <c r="G29">
        <v>1000</v>
      </c>
      <c r="H29" s="7">
        <f t="shared" si="2"/>
        <v>500</v>
      </c>
    </row>
    <row r="30" spans="1:8">
      <c r="A30" t="s">
        <v>98</v>
      </c>
      <c r="B30" t="s">
        <v>103</v>
      </c>
      <c r="C30" s="1">
        <v>46074</v>
      </c>
      <c r="D30" t="s">
        <v>108</v>
      </c>
      <c r="E30" t="s">
        <v>22</v>
      </c>
      <c r="F30">
        <v>500</v>
      </c>
      <c r="G30">
        <v>0</v>
      </c>
      <c r="H30" s="7">
        <f t="shared" si="2"/>
        <v>500</v>
      </c>
    </row>
    <row r="31" spans="1:8">
      <c r="A31" t="s">
        <v>99</v>
      </c>
      <c r="B31" t="s">
        <v>104</v>
      </c>
      <c r="C31" s="1">
        <v>46078</v>
      </c>
      <c r="D31" t="s">
        <v>109</v>
      </c>
      <c r="E31" t="s">
        <v>42</v>
      </c>
      <c r="F31">
        <v>5000</v>
      </c>
      <c r="G31">
        <v>5000</v>
      </c>
      <c r="H31" s="7">
        <f t="shared" si="2"/>
        <v>0</v>
      </c>
    </row>
    <row r="32" spans="1:8">
      <c r="A32" t="s">
        <v>110</v>
      </c>
      <c r="B32" t="s">
        <v>115</v>
      </c>
      <c r="C32" s="1">
        <v>46083</v>
      </c>
      <c r="D32" t="s">
        <v>120</v>
      </c>
      <c r="E32" t="s">
        <v>22</v>
      </c>
      <c r="F32">
        <v>500</v>
      </c>
      <c r="G32">
        <v>500</v>
      </c>
      <c r="H32" s="7">
        <f t="shared" ref="H32:H36" si="3">F32-G32</f>
        <v>0</v>
      </c>
    </row>
    <row r="33" spans="1:8">
      <c r="A33" t="s">
        <v>111</v>
      </c>
      <c r="B33" t="s">
        <v>116</v>
      </c>
      <c r="C33" s="1">
        <v>46085</v>
      </c>
      <c r="D33" t="s">
        <v>121</v>
      </c>
      <c r="E33" t="s">
        <v>23</v>
      </c>
      <c r="F33">
        <v>1500</v>
      </c>
      <c r="G33">
        <v>1500</v>
      </c>
      <c r="H33" s="7">
        <f t="shared" si="3"/>
        <v>0</v>
      </c>
    </row>
    <row r="34" spans="1:8">
      <c r="A34" t="s">
        <v>112</v>
      </c>
      <c r="B34" t="s">
        <v>117</v>
      </c>
      <c r="C34" s="1">
        <v>46088</v>
      </c>
      <c r="D34" t="s">
        <v>122</v>
      </c>
      <c r="E34" t="s">
        <v>24</v>
      </c>
      <c r="F34">
        <v>4000</v>
      </c>
      <c r="G34">
        <v>3500</v>
      </c>
      <c r="H34" s="7">
        <f t="shared" si="3"/>
        <v>500</v>
      </c>
    </row>
    <row r="35" spans="1:8">
      <c r="A35" t="s">
        <v>113</v>
      </c>
      <c r="B35" t="s">
        <v>118</v>
      </c>
      <c r="C35" s="1">
        <v>46091</v>
      </c>
      <c r="D35" t="s">
        <v>123</v>
      </c>
      <c r="E35" t="s">
        <v>41</v>
      </c>
      <c r="F35">
        <v>1000</v>
      </c>
      <c r="G35">
        <v>1000</v>
      </c>
      <c r="H35" s="7">
        <f t="shared" si="3"/>
        <v>0</v>
      </c>
    </row>
    <row r="36" spans="1:8">
      <c r="A36" t="s">
        <v>114</v>
      </c>
      <c r="B36" t="s">
        <v>119</v>
      </c>
      <c r="C36" s="1">
        <v>46095</v>
      </c>
      <c r="D36" t="s">
        <v>124</v>
      </c>
      <c r="E36" t="s">
        <v>42</v>
      </c>
      <c r="F36">
        <v>5000</v>
      </c>
      <c r="G36">
        <v>3000</v>
      </c>
      <c r="H36" s="7">
        <f t="shared" si="3"/>
        <v>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7B40-0110-4A15-A026-94CCE7D251A6}">
  <dimension ref="A1:H36"/>
  <sheetViews>
    <sheetView workbookViewId="0">
      <selection activeCell="K12" sqref="K12"/>
    </sheetView>
  </sheetViews>
  <sheetFormatPr defaultRowHeight="15"/>
  <cols>
    <col min="1" max="1" width="16.140625" customWidth="1"/>
    <col min="2" max="2" width="10" customWidth="1"/>
    <col min="3" max="3" width="12.28515625" customWidth="1"/>
    <col min="4" max="4" width="12.42578125" customWidth="1"/>
    <col min="5" max="5" width="21.28515625" customWidth="1"/>
    <col min="6" max="6" width="18.5703125" customWidth="1"/>
    <col min="7" max="7" width="19.7109375" customWidth="1"/>
    <col min="8" max="8" width="22.140625" customWidth="1"/>
  </cols>
  <sheetData>
    <row r="1" spans="1:8">
      <c r="A1" t="s">
        <v>138</v>
      </c>
      <c r="B1" t="s">
        <v>139</v>
      </c>
      <c r="C1" t="s">
        <v>140</v>
      </c>
      <c r="D1" t="s">
        <v>2</v>
      </c>
      <c r="E1" t="s">
        <v>3</v>
      </c>
      <c r="F1" t="s">
        <v>4</v>
      </c>
      <c r="G1" t="s">
        <v>6</v>
      </c>
      <c r="H1" t="s">
        <v>73</v>
      </c>
    </row>
    <row r="2" spans="1:8">
      <c r="A2" s="12" t="s">
        <v>7</v>
      </c>
      <c r="B2" s="13" t="s">
        <v>12</v>
      </c>
      <c r="C2" s="14">
        <v>46027</v>
      </c>
      <c r="D2" s="13" t="s">
        <v>17</v>
      </c>
      <c r="E2" s="13" t="s">
        <v>22</v>
      </c>
      <c r="F2" s="13">
        <v>500</v>
      </c>
      <c r="G2" s="13">
        <v>500</v>
      </c>
      <c r="H2" s="15">
        <f t="shared" ref="H2:H36" si="0">F2-G2</f>
        <v>0</v>
      </c>
    </row>
    <row r="3" spans="1:8">
      <c r="A3" s="16" t="s">
        <v>8</v>
      </c>
      <c r="B3" s="17" t="s">
        <v>13</v>
      </c>
      <c r="C3" s="18">
        <v>46028</v>
      </c>
      <c r="D3" s="17" t="s">
        <v>18</v>
      </c>
      <c r="E3" s="17" t="s">
        <v>23</v>
      </c>
      <c r="F3" s="17">
        <v>1500</v>
      </c>
      <c r="G3" s="17">
        <v>1500</v>
      </c>
      <c r="H3" s="19">
        <f t="shared" si="0"/>
        <v>0</v>
      </c>
    </row>
    <row r="4" spans="1:8">
      <c r="A4" s="12" t="s">
        <v>9</v>
      </c>
      <c r="B4" s="13" t="s">
        <v>14</v>
      </c>
      <c r="C4" s="14">
        <v>46029</v>
      </c>
      <c r="D4" s="13" t="s">
        <v>19</v>
      </c>
      <c r="E4" s="13" t="s">
        <v>24</v>
      </c>
      <c r="F4" s="13">
        <v>4000</v>
      </c>
      <c r="G4" s="13">
        <v>2500</v>
      </c>
      <c r="H4" s="15">
        <f t="shared" si="0"/>
        <v>1500</v>
      </c>
    </row>
    <row r="5" spans="1:8">
      <c r="A5" s="16" t="s">
        <v>10</v>
      </c>
      <c r="B5" s="17" t="s">
        <v>15</v>
      </c>
      <c r="C5" s="18">
        <v>46030</v>
      </c>
      <c r="D5" s="17" t="s">
        <v>20</v>
      </c>
      <c r="E5" s="17" t="s">
        <v>25</v>
      </c>
      <c r="F5" s="17">
        <v>1200</v>
      </c>
      <c r="G5" s="17">
        <v>1200</v>
      </c>
      <c r="H5" s="19">
        <f t="shared" si="0"/>
        <v>0</v>
      </c>
    </row>
    <row r="6" spans="1:8">
      <c r="A6" s="12" t="s">
        <v>11</v>
      </c>
      <c r="B6" s="13" t="s">
        <v>16</v>
      </c>
      <c r="C6" s="14">
        <v>46031</v>
      </c>
      <c r="D6" s="13" t="s">
        <v>21</v>
      </c>
      <c r="E6" s="13" t="s">
        <v>22</v>
      </c>
      <c r="F6" s="13">
        <v>500</v>
      </c>
      <c r="G6" s="13">
        <v>0</v>
      </c>
      <c r="H6" s="15">
        <f t="shared" si="0"/>
        <v>500</v>
      </c>
    </row>
    <row r="7" spans="1:8">
      <c r="A7" s="16" t="s">
        <v>26</v>
      </c>
      <c r="B7" s="17" t="s">
        <v>31</v>
      </c>
      <c r="C7" s="18">
        <v>46032</v>
      </c>
      <c r="D7" s="17" t="s">
        <v>36</v>
      </c>
      <c r="E7" s="17" t="s">
        <v>41</v>
      </c>
      <c r="F7" s="17">
        <v>1000</v>
      </c>
      <c r="G7" s="17">
        <v>1000</v>
      </c>
      <c r="H7" s="19">
        <f t="shared" si="0"/>
        <v>0</v>
      </c>
    </row>
    <row r="8" spans="1:8">
      <c r="A8" s="12" t="s">
        <v>27</v>
      </c>
      <c r="B8" s="13" t="s">
        <v>32</v>
      </c>
      <c r="C8" s="14">
        <v>46033</v>
      </c>
      <c r="D8" s="13" t="s">
        <v>37</v>
      </c>
      <c r="E8" s="13" t="s">
        <v>42</v>
      </c>
      <c r="F8" s="13">
        <v>5000</v>
      </c>
      <c r="G8" s="13">
        <v>3000</v>
      </c>
      <c r="H8" s="15">
        <f t="shared" si="0"/>
        <v>2000</v>
      </c>
    </row>
    <row r="9" spans="1:8">
      <c r="A9" s="16" t="s">
        <v>28</v>
      </c>
      <c r="B9" s="17" t="s">
        <v>33</v>
      </c>
      <c r="C9" s="18">
        <v>46034</v>
      </c>
      <c r="D9" s="17" t="s">
        <v>38</v>
      </c>
      <c r="E9" s="17" t="s">
        <v>24</v>
      </c>
      <c r="F9" s="17">
        <v>4000</v>
      </c>
      <c r="G9" s="17">
        <v>4000</v>
      </c>
      <c r="H9" s="19">
        <f t="shared" si="0"/>
        <v>0</v>
      </c>
    </row>
    <row r="10" spans="1:8">
      <c r="A10" s="12" t="s">
        <v>29</v>
      </c>
      <c r="B10" s="13" t="s">
        <v>34</v>
      </c>
      <c r="C10" s="14">
        <v>46035</v>
      </c>
      <c r="D10" s="13" t="s">
        <v>39</v>
      </c>
      <c r="E10" s="13" t="s">
        <v>23</v>
      </c>
      <c r="F10" s="13">
        <v>1500</v>
      </c>
      <c r="G10" s="13">
        <v>1000</v>
      </c>
      <c r="H10" s="15">
        <f t="shared" si="0"/>
        <v>500</v>
      </c>
    </row>
    <row r="11" spans="1:8">
      <c r="A11" s="16" t="s">
        <v>30</v>
      </c>
      <c r="B11" s="17" t="s">
        <v>35</v>
      </c>
      <c r="C11" s="18">
        <v>46036</v>
      </c>
      <c r="D11" s="17" t="s">
        <v>40</v>
      </c>
      <c r="E11" s="17" t="s">
        <v>22</v>
      </c>
      <c r="F11" s="17">
        <v>500</v>
      </c>
      <c r="G11" s="17">
        <v>500</v>
      </c>
      <c r="H11" s="19">
        <f t="shared" si="0"/>
        <v>0</v>
      </c>
    </row>
    <row r="12" spans="1:8">
      <c r="A12" s="12" t="s">
        <v>43</v>
      </c>
      <c r="B12" s="13" t="s">
        <v>48</v>
      </c>
      <c r="C12" s="14">
        <v>46037</v>
      </c>
      <c r="D12" s="13" t="s">
        <v>53</v>
      </c>
      <c r="E12" s="13" t="s">
        <v>25</v>
      </c>
      <c r="F12" s="13">
        <v>1200</v>
      </c>
      <c r="G12" s="13">
        <v>700</v>
      </c>
      <c r="H12" s="15">
        <f t="shared" si="0"/>
        <v>500</v>
      </c>
    </row>
    <row r="13" spans="1:8">
      <c r="A13" s="16" t="s">
        <v>44</v>
      </c>
      <c r="B13" s="17" t="s">
        <v>49</v>
      </c>
      <c r="C13" s="18">
        <v>46038</v>
      </c>
      <c r="D13" s="17" t="s">
        <v>54</v>
      </c>
      <c r="E13" s="17" t="s">
        <v>41</v>
      </c>
      <c r="F13" s="17">
        <v>1000</v>
      </c>
      <c r="G13" s="17">
        <v>800</v>
      </c>
      <c r="H13" s="19">
        <f t="shared" si="0"/>
        <v>200</v>
      </c>
    </row>
    <row r="14" spans="1:8">
      <c r="A14" s="12" t="s">
        <v>45</v>
      </c>
      <c r="B14" s="13" t="s">
        <v>50</v>
      </c>
      <c r="C14" s="14">
        <v>46039</v>
      </c>
      <c r="D14" s="13" t="s">
        <v>55</v>
      </c>
      <c r="E14" s="13" t="s">
        <v>42</v>
      </c>
      <c r="F14" s="13">
        <v>5000</v>
      </c>
      <c r="G14" s="13">
        <v>5000</v>
      </c>
      <c r="H14" s="15">
        <f t="shared" si="0"/>
        <v>0</v>
      </c>
    </row>
    <row r="15" spans="1:8">
      <c r="A15" s="16" t="s">
        <v>46</v>
      </c>
      <c r="B15" s="17" t="s">
        <v>51</v>
      </c>
      <c r="C15" s="18">
        <v>46040</v>
      </c>
      <c r="D15" s="17" t="s">
        <v>56</v>
      </c>
      <c r="E15" s="17" t="s">
        <v>24</v>
      </c>
      <c r="F15" s="17">
        <v>4000</v>
      </c>
      <c r="G15" s="17">
        <v>2000</v>
      </c>
      <c r="H15" s="19">
        <f t="shared" si="0"/>
        <v>2000</v>
      </c>
    </row>
    <row r="16" spans="1:8">
      <c r="A16" s="12" t="s">
        <v>47</v>
      </c>
      <c r="B16" s="13" t="s">
        <v>52</v>
      </c>
      <c r="C16" s="14">
        <v>46041</v>
      </c>
      <c r="D16" s="13" t="s">
        <v>57</v>
      </c>
      <c r="E16" s="13" t="s">
        <v>22</v>
      </c>
      <c r="F16" s="13">
        <v>500</v>
      </c>
      <c r="G16" s="13">
        <v>500</v>
      </c>
      <c r="H16" s="15">
        <f t="shared" si="0"/>
        <v>0</v>
      </c>
    </row>
    <row r="17" spans="1:8">
      <c r="A17" s="16" t="s">
        <v>58</v>
      </c>
      <c r="B17" s="17" t="s">
        <v>63</v>
      </c>
      <c r="C17" s="18">
        <v>46042</v>
      </c>
      <c r="D17" s="17" t="s">
        <v>68</v>
      </c>
      <c r="E17" s="17" t="s">
        <v>23</v>
      </c>
      <c r="F17" s="17">
        <v>1500</v>
      </c>
      <c r="G17" s="17">
        <v>1500</v>
      </c>
      <c r="H17" s="19">
        <f t="shared" si="0"/>
        <v>0</v>
      </c>
    </row>
    <row r="18" spans="1:8">
      <c r="A18" s="12" t="s">
        <v>59</v>
      </c>
      <c r="B18" s="13" t="s">
        <v>64</v>
      </c>
      <c r="C18" s="14">
        <v>46043</v>
      </c>
      <c r="D18" s="13" t="s">
        <v>69</v>
      </c>
      <c r="E18" s="13" t="s">
        <v>41</v>
      </c>
      <c r="F18" s="13">
        <v>1000</v>
      </c>
      <c r="G18" s="13">
        <v>500</v>
      </c>
      <c r="H18" s="15">
        <f t="shared" si="0"/>
        <v>500</v>
      </c>
    </row>
    <row r="19" spans="1:8">
      <c r="A19" s="16" t="s">
        <v>60</v>
      </c>
      <c r="B19" s="17" t="s">
        <v>65</v>
      </c>
      <c r="C19" s="18">
        <v>46044</v>
      </c>
      <c r="D19" s="17" t="s">
        <v>70</v>
      </c>
      <c r="E19" s="17" t="s">
        <v>24</v>
      </c>
      <c r="F19" s="17">
        <v>4000</v>
      </c>
      <c r="G19" s="17">
        <v>4000</v>
      </c>
      <c r="H19" s="19">
        <f t="shared" si="0"/>
        <v>0</v>
      </c>
    </row>
    <row r="20" spans="1:8">
      <c r="A20" s="12" t="s">
        <v>61</v>
      </c>
      <c r="B20" s="13" t="s">
        <v>66</v>
      </c>
      <c r="C20" s="14">
        <v>46045</v>
      </c>
      <c r="D20" s="13" t="s">
        <v>71</v>
      </c>
      <c r="E20" s="13" t="s">
        <v>42</v>
      </c>
      <c r="F20" s="13">
        <v>5000</v>
      </c>
      <c r="G20" s="13">
        <v>2500</v>
      </c>
      <c r="H20" s="15">
        <f t="shared" si="0"/>
        <v>2500</v>
      </c>
    </row>
    <row r="21" spans="1:8">
      <c r="A21" s="16" t="s">
        <v>62</v>
      </c>
      <c r="B21" s="17" t="s">
        <v>67</v>
      </c>
      <c r="C21" s="18">
        <v>46046</v>
      </c>
      <c r="D21" s="17" t="s">
        <v>72</v>
      </c>
      <c r="E21" s="17" t="s">
        <v>25</v>
      </c>
      <c r="F21" s="17">
        <v>1200</v>
      </c>
      <c r="G21" s="17">
        <v>1200</v>
      </c>
      <c r="H21" s="19">
        <f t="shared" si="0"/>
        <v>0</v>
      </c>
    </row>
    <row r="22" spans="1:8">
      <c r="A22" s="12" t="s">
        <v>80</v>
      </c>
      <c r="B22" s="13" t="s">
        <v>85</v>
      </c>
      <c r="C22" s="14">
        <v>46054</v>
      </c>
      <c r="D22" s="13" t="s">
        <v>90</v>
      </c>
      <c r="E22" s="13" t="s">
        <v>22</v>
      </c>
      <c r="F22" s="13">
        <v>500</v>
      </c>
      <c r="G22" s="13">
        <v>500</v>
      </c>
      <c r="H22" s="20">
        <f t="shared" si="0"/>
        <v>0</v>
      </c>
    </row>
    <row r="23" spans="1:8">
      <c r="A23" s="16" t="s">
        <v>81</v>
      </c>
      <c r="B23" s="17" t="s">
        <v>86</v>
      </c>
      <c r="C23" s="18">
        <v>46056</v>
      </c>
      <c r="D23" s="17" t="s">
        <v>91</v>
      </c>
      <c r="E23" s="17" t="s">
        <v>23</v>
      </c>
      <c r="F23" s="17">
        <v>1500</v>
      </c>
      <c r="G23" s="17">
        <v>1500</v>
      </c>
      <c r="H23" s="21">
        <f t="shared" si="0"/>
        <v>0</v>
      </c>
    </row>
    <row r="24" spans="1:8">
      <c r="A24" s="12" t="s">
        <v>82</v>
      </c>
      <c r="B24" s="13" t="s">
        <v>87</v>
      </c>
      <c r="C24" s="14">
        <v>46058</v>
      </c>
      <c r="D24" s="13" t="s">
        <v>92</v>
      </c>
      <c r="E24" s="13" t="s">
        <v>24</v>
      </c>
      <c r="F24" s="13">
        <v>4000</v>
      </c>
      <c r="G24" s="13">
        <v>3000</v>
      </c>
      <c r="H24" s="20">
        <f t="shared" si="0"/>
        <v>1000</v>
      </c>
    </row>
    <row r="25" spans="1:8">
      <c r="A25" s="16" t="s">
        <v>83</v>
      </c>
      <c r="B25" s="17" t="s">
        <v>88</v>
      </c>
      <c r="C25" s="18">
        <v>46061</v>
      </c>
      <c r="D25" s="17" t="s">
        <v>93</v>
      </c>
      <c r="E25" s="17" t="s">
        <v>42</v>
      </c>
      <c r="F25" s="17">
        <v>5000</v>
      </c>
      <c r="G25" s="17">
        <v>2500</v>
      </c>
      <c r="H25" s="21">
        <f t="shared" si="0"/>
        <v>2500</v>
      </c>
    </row>
    <row r="26" spans="1:8">
      <c r="A26" s="12" t="s">
        <v>84</v>
      </c>
      <c r="B26" s="13" t="s">
        <v>89</v>
      </c>
      <c r="C26" s="14">
        <v>46063</v>
      </c>
      <c r="D26" s="13" t="s">
        <v>94</v>
      </c>
      <c r="E26" s="13" t="s">
        <v>41</v>
      </c>
      <c r="F26" s="13">
        <v>1000</v>
      </c>
      <c r="G26" s="13">
        <v>1000</v>
      </c>
      <c r="H26" s="20">
        <f t="shared" si="0"/>
        <v>0</v>
      </c>
    </row>
    <row r="27" spans="1:8">
      <c r="A27" s="16" t="s">
        <v>95</v>
      </c>
      <c r="B27" s="17" t="s">
        <v>100</v>
      </c>
      <c r="C27" s="18">
        <v>46065</v>
      </c>
      <c r="D27" s="17" t="s">
        <v>105</v>
      </c>
      <c r="E27" s="17" t="s">
        <v>25</v>
      </c>
      <c r="F27" s="17">
        <v>1200</v>
      </c>
      <c r="G27" s="17">
        <v>1200</v>
      </c>
      <c r="H27" s="21">
        <f t="shared" si="0"/>
        <v>0</v>
      </c>
    </row>
    <row r="28" spans="1:8">
      <c r="A28" s="12" t="s">
        <v>96</v>
      </c>
      <c r="B28" s="13" t="s">
        <v>101</v>
      </c>
      <c r="C28" s="14">
        <v>46068</v>
      </c>
      <c r="D28" s="13" t="s">
        <v>106</v>
      </c>
      <c r="E28" s="13" t="s">
        <v>24</v>
      </c>
      <c r="F28" s="13">
        <v>4000</v>
      </c>
      <c r="G28" s="13">
        <v>2000</v>
      </c>
      <c r="H28" s="20">
        <f t="shared" si="0"/>
        <v>2000</v>
      </c>
    </row>
    <row r="29" spans="1:8">
      <c r="A29" s="16" t="s">
        <v>97</v>
      </c>
      <c r="B29" s="17" t="s">
        <v>102</v>
      </c>
      <c r="C29" s="18">
        <v>46071</v>
      </c>
      <c r="D29" s="17" t="s">
        <v>107</v>
      </c>
      <c r="E29" s="17" t="s">
        <v>23</v>
      </c>
      <c r="F29" s="17">
        <v>1500</v>
      </c>
      <c r="G29" s="17">
        <v>1000</v>
      </c>
      <c r="H29" s="21">
        <f t="shared" si="0"/>
        <v>500</v>
      </c>
    </row>
    <row r="30" spans="1:8">
      <c r="A30" s="12" t="s">
        <v>98</v>
      </c>
      <c r="B30" s="13" t="s">
        <v>103</v>
      </c>
      <c r="C30" s="14">
        <v>46074</v>
      </c>
      <c r="D30" s="13" t="s">
        <v>108</v>
      </c>
      <c r="E30" s="13" t="s">
        <v>22</v>
      </c>
      <c r="F30" s="13">
        <v>500</v>
      </c>
      <c r="G30" s="13">
        <v>0</v>
      </c>
      <c r="H30" s="20">
        <f t="shared" si="0"/>
        <v>500</v>
      </c>
    </row>
    <row r="31" spans="1:8">
      <c r="A31" s="16" t="s">
        <v>99</v>
      </c>
      <c r="B31" s="17" t="s">
        <v>104</v>
      </c>
      <c r="C31" s="18">
        <v>46078</v>
      </c>
      <c r="D31" s="17" t="s">
        <v>109</v>
      </c>
      <c r="E31" s="17" t="s">
        <v>42</v>
      </c>
      <c r="F31" s="17">
        <v>5000</v>
      </c>
      <c r="G31" s="17">
        <v>5000</v>
      </c>
      <c r="H31" s="21">
        <f t="shared" si="0"/>
        <v>0</v>
      </c>
    </row>
    <row r="32" spans="1:8">
      <c r="A32" s="12" t="s">
        <v>110</v>
      </c>
      <c r="B32" s="13" t="s">
        <v>115</v>
      </c>
      <c r="C32" s="14">
        <v>46083</v>
      </c>
      <c r="D32" s="13" t="s">
        <v>120</v>
      </c>
      <c r="E32" s="13" t="s">
        <v>22</v>
      </c>
      <c r="F32" s="13">
        <v>500</v>
      </c>
      <c r="G32" s="13">
        <v>500</v>
      </c>
      <c r="H32" s="20">
        <f t="shared" si="0"/>
        <v>0</v>
      </c>
    </row>
    <row r="33" spans="1:8">
      <c r="A33" s="16" t="s">
        <v>111</v>
      </c>
      <c r="B33" s="17" t="s">
        <v>116</v>
      </c>
      <c r="C33" s="18">
        <v>46085</v>
      </c>
      <c r="D33" s="17" t="s">
        <v>121</v>
      </c>
      <c r="E33" s="17" t="s">
        <v>23</v>
      </c>
      <c r="F33" s="17">
        <v>1500</v>
      </c>
      <c r="G33" s="17">
        <v>1500</v>
      </c>
      <c r="H33" s="21">
        <f t="shared" si="0"/>
        <v>0</v>
      </c>
    </row>
    <row r="34" spans="1:8">
      <c r="A34" s="12" t="s">
        <v>112</v>
      </c>
      <c r="B34" s="13" t="s">
        <v>117</v>
      </c>
      <c r="C34" s="14">
        <v>46088</v>
      </c>
      <c r="D34" s="13" t="s">
        <v>122</v>
      </c>
      <c r="E34" s="13" t="s">
        <v>24</v>
      </c>
      <c r="F34" s="13">
        <v>4000</v>
      </c>
      <c r="G34" s="13">
        <v>3500</v>
      </c>
      <c r="H34" s="20">
        <f t="shared" si="0"/>
        <v>500</v>
      </c>
    </row>
    <row r="35" spans="1:8">
      <c r="A35" s="16" t="s">
        <v>113</v>
      </c>
      <c r="B35" s="17" t="s">
        <v>118</v>
      </c>
      <c r="C35" s="18">
        <v>46091</v>
      </c>
      <c r="D35" s="17" t="s">
        <v>123</v>
      </c>
      <c r="E35" s="17" t="s">
        <v>41</v>
      </c>
      <c r="F35" s="17">
        <v>1000</v>
      </c>
      <c r="G35" s="17">
        <v>1000</v>
      </c>
      <c r="H35" s="21">
        <f t="shared" si="0"/>
        <v>0</v>
      </c>
    </row>
    <row r="36" spans="1:8">
      <c r="A36" s="22" t="s">
        <v>114</v>
      </c>
      <c r="B36" s="23" t="s">
        <v>119</v>
      </c>
      <c r="C36" s="24">
        <v>46095</v>
      </c>
      <c r="D36" s="23" t="s">
        <v>124</v>
      </c>
      <c r="E36" s="23" t="s">
        <v>42</v>
      </c>
      <c r="F36" s="23">
        <v>5000</v>
      </c>
      <c r="G36" s="23">
        <v>3000</v>
      </c>
      <c r="H36" s="25">
        <f t="shared" si="0"/>
        <v>2000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0C99-24DA-44B4-878F-714257136AB3}">
  <dimension ref="A1:B5"/>
  <sheetViews>
    <sheetView workbookViewId="0">
      <selection activeCell="H14" sqref="H14"/>
    </sheetView>
  </sheetViews>
  <sheetFormatPr defaultRowHeight="15"/>
  <cols>
    <col min="1" max="1" width="20.85546875" customWidth="1"/>
    <col min="2" max="2" width="11.5703125" bestFit="1" customWidth="1"/>
  </cols>
  <sheetData>
    <row r="1" spans="1:2">
      <c r="A1" s="2" t="s">
        <v>74</v>
      </c>
      <c r="B1" s="2" t="s">
        <v>75</v>
      </c>
    </row>
    <row r="2" spans="1:2">
      <c r="A2" s="3" t="s">
        <v>76</v>
      </c>
      <c r="B2" s="6">
        <f>SUM(Cleaned_Transactions!F2:F36)</f>
        <v>80300</v>
      </c>
    </row>
    <row r="3" spans="1:2">
      <c r="A3" s="4" t="s">
        <v>77</v>
      </c>
      <c r="B3" s="6">
        <f>SUM(Cleaned_Transactions!G2:G36)</f>
        <v>61100</v>
      </c>
    </row>
    <row r="4" spans="1:2">
      <c r="A4" s="3" t="s">
        <v>78</v>
      </c>
      <c r="B4" s="6">
        <f>B2-B3</f>
        <v>19200</v>
      </c>
    </row>
    <row r="5" spans="1:2">
      <c r="A5" s="3" t="s">
        <v>79</v>
      </c>
      <c r="B5" s="5">
        <f>IFERROR(B3/B2,0)</f>
        <v>0.76089663760896642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7729-33CE-49E5-8FA1-EAFDD67924D4}">
  <dimension ref="A1:E5"/>
  <sheetViews>
    <sheetView workbookViewId="0">
      <selection activeCell="I12" sqref="I12"/>
    </sheetView>
  </sheetViews>
  <sheetFormatPr defaultRowHeight="15"/>
  <cols>
    <col min="2" max="2" width="13.7109375" customWidth="1"/>
    <col min="3" max="3" width="14.85546875" customWidth="1"/>
    <col min="4" max="4" width="12" customWidth="1"/>
    <col min="5" max="5" width="1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  <row r="2" spans="1:5">
      <c r="A2" s="8">
        <v>46023</v>
      </c>
      <c r="B2" s="9">
        <f>SUMIFS(Cleaned_Transactions!F:F,Cleaned_Transactions!C:C,"&gt;="&amp;DATE(2026,1,1),Cleaned_Transactions!C:C,"&lt;"&amp;DATE(2026,2,1))</f>
        <v>44100</v>
      </c>
      <c r="C2" s="9">
        <f>SUMIFS(Cleaned_Transactions!G:G,Cleaned_Transactions!C:C,"&gt;="&amp;DATE(2026,1,1),Cleaned_Transactions!C:C,"&lt;"&amp;DATE(2026,2,1))</f>
        <v>33900</v>
      </c>
      <c r="D2" s="9">
        <f>B2-C2</f>
        <v>10200</v>
      </c>
      <c r="E2" s="5">
        <f>IFERROR(C2/B2,0)</f>
        <v>0.76870748299319724</v>
      </c>
    </row>
    <row r="3" spans="1:5">
      <c r="A3" s="8">
        <v>46054</v>
      </c>
      <c r="B3" s="9">
        <f>SUMIFS(Cleaned_Transactions!F:F,Cleaned_Transactions!C:C,"&gt;="&amp;DATE(2026,2,1),Cleaned_Transactions!C:C,"&lt;"&amp;DATE(2026,3,1))</f>
        <v>24200</v>
      </c>
      <c r="C3" s="9">
        <f>SUMIFS(Cleaned_Transactions!G:G,Cleaned_Transactions!C:C,"&gt;="&amp;DATE(2026,2,1),Cleaned_Transactions!C:C,"&lt;"&amp;DATE(2026,3,1))</f>
        <v>17700</v>
      </c>
      <c r="D3" s="9">
        <f t="shared" ref="D3:D4" si="0">B3-C3</f>
        <v>6500</v>
      </c>
      <c r="E3" s="5">
        <f t="shared" ref="E3:E4" si="1">IFERROR(C3/B3,0)</f>
        <v>0.73140495867768596</v>
      </c>
    </row>
    <row r="4" spans="1:5">
      <c r="A4" s="8">
        <v>46082</v>
      </c>
      <c r="B4" s="9">
        <f>SUMIFS(Cleaned_Transactions!F:F,Cleaned_Transactions!C:C,"&gt;="&amp;DATE(2026,3,1),Cleaned_Transactions!C:C,"&lt;"&amp;DATE(2026,4,1))</f>
        <v>12000</v>
      </c>
      <c r="C4" s="9">
        <f>SUMIFS(Cleaned_Transactions!G:G,Cleaned_Transactions!C:C,"&gt;="&amp;DATE(2026,3,1),Cleaned_Transactions!C:C,"&lt;"&amp;DATE(2026,4,1))</f>
        <v>9500</v>
      </c>
      <c r="D4" s="9">
        <f t="shared" si="0"/>
        <v>2500</v>
      </c>
      <c r="E4" s="5">
        <f t="shared" si="1"/>
        <v>0.79166666666666663</v>
      </c>
    </row>
    <row r="5" spans="1:5">
      <c r="A5" s="2" t="s">
        <v>130</v>
      </c>
      <c r="B5" s="10">
        <f>SUM(B2:B4)</f>
        <v>80300</v>
      </c>
      <c r="C5" s="10">
        <f>SUM(C2:C4)</f>
        <v>61100</v>
      </c>
      <c r="D5" s="10">
        <f>SUM(D2:D4)</f>
        <v>19200</v>
      </c>
      <c r="E5" s="11">
        <f>IFERROR(C5/B5,0)</f>
        <v>0.76089663760896642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Cleaned_Transactions</vt:lpstr>
      <vt:lpstr>PowerBI_Data</vt:lpstr>
      <vt:lpstr>Clinic_Summary</vt:lpstr>
      <vt:lpstr>Monthly_Summary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acharya</dc:creator>
  <cp:lastModifiedBy>acharya</cp:lastModifiedBy>
  <dcterms:created xsi:type="dcterms:W3CDTF">2026-10-09T18:29:23Z</dcterms:created>
  <dcterms:modified xsi:type="dcterms:W3CDTF">2026-10-10T08:17:41Z</dcterms:modified>
</cp:coreProperties>
</file>